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vinci.sharepoint.com/sites/TeamsSmartLock/Documents partages/General/Livrables/jalon_2/smartlock_elec_jalon2_v3/"/>
    </mc:Choice>
  </mc:AlternateContent>
  <xr:revisionPtr revIDLastSave="107" documentId="8_{B6DF0FEA-499B-4F09-8D23-694EE6B84389}" xr6:coauthVersionLast="47" xr6:coauthVersionMax="47" xr10:uidLastSave="{88302FAE-82FE-4721-AABD-C17D7418927F}"/>
  <bookViews>
    <workbookView xWindow="-120" yWindow="-120" windowWidth="29040" windowHeight="16440" xr2:uid="{DC3D2FF3-ED57-4013-8509-9886374D32FF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H23" i="1" s="1"/>
  <c r="E22" i="1"/>
  <c r="H22" i="1" s="1"/>
  <c r="H26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4" i="1"/>
  <c r="H20" i="1"/>
  <c r="H21" i="1"/>
  <c r="H19" i="1"/>
  <c r="H18" i="1"/>
  <c r="H16" i="1"/>
  <c r="H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L18" i="1" l="1"/>
  <c r="L19" i="1" s="1"/>
</calcChain>
</file>

<file path=xl/sharedStrings.xml><?xml version="1.0" encoding="utf-8"?>
<sst xmlns="http://schemas.openxmlformats.org/spreadsheetml/2006/main" count="309" uniqueCount="233">
  <si>
    <t>Numéro d'article</t>
  </si>
  <si>
    <t>Article</t>
  </si>
  <si>
    <t>Type/Catégorie</t>
  </si>
  <si>
    <t>Quantité</t>
  </si>
  <si>
    <t>Fournisseur</t>
  </si>
  <si>
    <t>Coût Unitaire</t>
  </si>
  <si>
    <t>Coût Total Estimé</t>
  </si>
  <si>
    <t>Lien</t>
  </si>
  <si>
    <t>Note</t>
  </si>
  <si>
    <t>Rasp 0 12W (Raspberry Pi)</t>
  </si>
  <si>
    <t>Micro-ordinateur U10</t>
  </si>
  <si>
    <t xml:space="preserve">Kubii </t>
  </si>
  <si>
    <t>https://www.kubii.com/fr/cartes-nano-ordinateurs/3455-raspberry-pi-zero-2-w.html?src=raspberrypi</t>
  </si>
  <si>
    <t>BIGTREETECH SKSM V1.0</t>
  </si>
  <si>
    <t>Carte sauveuse de donnée J2</t>
  </si>
  <si>
    <t>Biqu</t>
  </si>
  <si>
    <t>https://biqu.equipment/products/bigtreetech-sksm-v1-0</t>
  </si>
  <si>
    <t>PN532</t>
  </si>
  <si>
    <t>Lecteur RFID/NFC U20</t>
  </si>
  <si>
    <t>robotshop</t>
  </si>
  <si>
    <t>https://eu.robotshop.com/products/elecrow-pn532-nfc-module-pn532-rfid-v3-module</t>
  </si>
  <si>
    <t>7inch Capacitive Touch Screen LCD (H), 1024×600, HDMI, IPS, Various Systems Support</t>
  </si>
  <si>
    <t>Écran / IHM</t>
  </si>
  <si>
    <t>Gotronic</t>
  </si>
  <si>
    <t>https://www.waveshare.com/7inch-hdmi-lcd-h.htm</t>
  </si>
  <si>
    <t>Capteur a effet hall</t>
  </si>
  <si>
    <t>Capteur magnétique U15</t>
  </si>
  <si>
    <t>RS</t>
  </si>
  <si>
    <t>https://fr.rs-online.com/web/p/capteurs-a-effet-hall/2892086</t>
  </si>
  <si>
    <t>L'ancienne référence était pour un PCB</t>
  </si>
  <si>
    <t>https://fr.rs-online.com/web/p/capteurs-a-effet-hall/1811441</t>
  </si>
  <si>
    <t>Led rouge</t>
  </si>
  <si>
    <t>Composants elec D20, D21</t>
  </si>
  <si>
    <t>https://www.gotronic.fr/art-led-5-mm-l56bhd-2104.htm</t>
  </si>
  <si>
    <t>Buzzer</t>
  </si>
  <si>
    <t>Composants elec BZ2</t>
  </si>
  <si>
    <t>https://www.gotronic.fr/art-buzzer-sv4-3830.htm</t>
  </si>
  <si>
    <t>Samsung 25R 18650</t>
  </si>
  <si>
    <t>Batterie de secours BT4, BT5, BT6</t>
  </si>
  <si>
    <t>Taklope</t>
  </si>
  <si>
    <t>https://www.taklope.com/samsung/2240-samsung-inr-25r-18650-2500-mah.html</t>
  </si>
  <si>
    <t>Régulateur CC-CC MC34063ADR</t>
  </si>
  <si>
    <t>Step-up / Step-down U1-U4</t>
  </si>
  <si>
    <t>https://fr.rs-online.com/web/p/convertisseurs-dc-dc/2184547</t>
  </si>
  <si>
    <t>Interupteur</t>
  </si>
  <si>
    <t>Protection de circuit SW1</t>
  </si>
  <si>
    <t>https://fr.rs-online.com/web/p/interrupteurs-a-bascule/1858229</t>
  </si>
  <si>
    <t>Solénoïde</t>
  </si>
  <si>
    <t>Verrou L10</t>
  </si>
  <si>
    <t>JZIK (sinon amazon)</t>
  </si>
  <si>
    <t>https://www.amazon.fr/verrouillage-sol%C3%A9no%C3%AFde-%C3%A9lectrique-s%C3%A9curit%C3%A9-coffres-forts/dp/B074MX923N</t>
  </si>
  <si>
    <t>Le site ne fonctionne plus go Amazon</t>
  </si>
  <si>
    <t>https://www.jzk-jzk.com/fr/products/dc-12v-electric-solenoid-lock-assembly-security-lock-for-security-system-safes-door-cabinet</t>
  </si>
  <si>
    <t xml:space="preserve"> Porte-fusible PF14 </t>
  </si>
  <si>
    <t>Protection de circuit</t>
  </si>
  <si>
    <t>https://www.gotronic.fr/art-porte-fusible-pf14-5553.htm</t>
  </si>
  <si>
    <t xml:space="preserve"> Fusible temporisé 3,15 A </t>
  </si>
  <si>
    <t>Protection de circuit F1</t>
  </si>
  <si>
    <t>https://www.gotronic.fr/art-fusible-temporise-3-15-a-5485.htm</t>
  </si>
  <si>
    <t>Diode 1N5822</t>
  </si>
  <si>
    <t>D1-D4, D10, D11</t>
  </si>
  <si>
    <t>https://www.gotronic.fr/art-1n5822-105.htm</t>
  </si>
  <si>
    <t>Adaptateur AC/DC 220V-12V</t>
  </si>
  <si>
    <t>Alimentation secteur J8</t>
  </si>
  <si>
    <t>https://fr.rs-online.com/web/p/adaptateurs-ac-dc/1753327</t>
  </si>
  <si>
    <t>Connecteur Aviateur</t>
  </si>
  <si>
    <t>Connectique J3, J9</t>
  </si>
  <si>
    <t>Audiophonics</t>
  </si>
  <si>
    <t>https://www.audiophonics.fr/en/plane-type-plugs/gx12-connector-2-poles-300v-5a-o5mm-p-9979.html</t>
  </si>
  <si>
    <t>Mosfet</t>
  </si>
  <si>
    <t>Connectique Q1</t>
  </si>
  <si>
    <t>https://fr.rs-online.com/web/p/transistors-mosfet/5410086</t>
  </si>
  <si>
    <t>Total 3 armoires</t>
  </si>
  <si>
    <t>Cable Hdmi - mini Hdmi</t>
  </si>
  <si>
    <t>Câblage</t>
  </si>
  <si>
    <t>Otronic</t>
  </si>
  <si>
    <t>https://www.otronic.nl/fr/cable-micro-hdmi-vers-hdmi-20-1m-blanc-officiel-ra.html</t>
  </si>
  <si>
    <t>Total 1 armoire</t>
  </si>
  <si>
    <t>BMS 3S</t>
  </si>
  <si>
    <t>Gestion batterie J10</t>
  </si>
  <si>
    <t>https://www.otronic.nl/fr/circuit-de-protection-bms-3s-avec-fonction-dequili.html</t>
  </si>
  <si>
    <t>Cable Usb - Micro Usb</t>
  </si>
  <si>
    <t>https://www.otronic.nl/fr/cable-usb-a-vers-micro-usb-1-metre-noir.html</t>
  </si>
  <si>
    <r>
      <t>Inductance 100</t>
    </r>
    <r>
      <rPr>
        <sz val="11"/>
        <color theme="1"/>
        <rFont val="Aptos Narrow"/>
        <family val="2"/>
      </rPr>
      <t>µH</t>
    </r>
  </si>
  <si>
    <t>L1, L2, L3</t>
  </si>
  <si>
    <t>https://www.gotronic.fr/art-self-miniature-100-uh-3521.htm</t>
  </si>
  <si>
    <t>Inductance 150µH</t>
  </si>
  <si>
    <t>L4</t>
  </si>
  <si>
    <t>Switch eletronics</t>
  </si>
  <si>
    <t>https://www.switchelectronics.co.uk/products/150%C2%B5h-10-radial-inductor-22r154c</t>
  </si>
  <si>
    <r>
      <t>R 13 k</t>
    </r>
    <r>
      <rPr>
        <sz val="11"/>
        <color theme="1"/>
        <rFont val="Aptos Narrow"/>
        <family val="2"/>
      </rPr>
      <t>Ω</t>
    </r>
  </si>
  <si>
    <t>R32</t>
  </si>
  <si>
    <t>e44</t>
  </si>
  <si>
    <t>https://www.e44.com/composants/composants-passifs/resistances/resistances-precision/0-25-w/resistance-couche-metallique-1-4w-13-kohms-1-MA13K0.html</t>
  </si>
  <si>
    <t>R 1.5 Ω</t>
  </si>
  <si>
    <t>R_SC4</t>
  </si>
  <si>
    <t>https://www.gotronic.fr/art-10-resistances-1-4w-1-5-8486-2545.htm</t>
  </si>
  <si>
    <t>R 3.6 kΩ</t>
  </si>
  <si>
    <t>R12, R22</t>
  </si>
  <si>
    <t>https://ma.rsdelivers.com/product/vishay/mrs25000c3601fct00/resistance-film-couche-mince-36k%CF%89-1-06w/6834219P</t>
  </si>
  <si>
    <t>R 9.1 kΩ</t>
  </si>
  <si>
    <t>R42</t>
  </si>
  <si>
    <t>https://www.gotronic.fr/art-5-resistances-1-2w-9-1-k-8486-8835.htm</t>
  </si>
  <si>
    <t>R 1.0 kΩ</t>
  </si>
  <si>
    <t>R41</t>
  </si>
  <si>
    <t>https://www.gotronic.fr/art-10-resistances-1-4w-1-0k-8486-2574.htm</t>
  </si>
  <si>
    <t>R 1.2 kΩ</t>
  </si>
  <si>
    <t>R11, R21</t>
  </si>
  <si>
    <t>https://www.gotronic.fr/art-10-resistances-1-4w-1-2k-8486-2575.htm</t>
  </si>
  <si>
    <t>R 0.33 Ω</t>
  </si>
  <si>
    <t>R_SC1, R_SC2</t>
  </si>
  <si>
    <t>https://www.gotronic.fr/art-resistance-bobinee-5w-0-33-8486-2813.htm</t>
  </si>
  <si>
    <t>R 0.47 Ω</t>
  </si>
  <si>
    <t>R_SC3</t>
  </si>
  <si>
    <t>https://www.gotronic.fr/art-resistance-bobinee-5w-0-47-8486-2815.htm</t>
  </si>
  <si>
    <t>R 1.5 kΩ</t>
  </si>
  <si>
    <t>R31</t>
  </si>
  <si>
    <t>https://www.gotronic.fr/art-10-resistances-1-4w-1-5k-8486-2576.htm</t>
  </si>
  <si>
    <t xml:space="preserve">C 560 pF </t>
  </si>
  <si>
    <t>C_T1</t>
  </si>
  <si>
    <t>https://www.gotronic.fr/art-condensateur-ceramique-560-pf-3195.htm</t>
  </si>
  <si>
    <t xml:space="preserve">C 100µF/50V </t>
  </si>
  <si>
    <t>C1, C_O1, C2, C3, C_O3, C4, C_O4</t>
  </si>
  <si>
    <t>https://www.gotronic.fr/art-condensateur-radial-100uf-50v-229.htm</t>
  </si>
  <si>
    <t xml:space="preserve">C 680 pF </t>
  </si>
  <si>
    <t>C_T2</t>
  </si>
  <si>
    <t>https://www.gotronic.fr/art-condensateur-ceramique-680-pf-3196.htm</t>
  </si>
  <si>
    <t>C 220 µF / 50V</t>
  </si>
  <si>
    <t>C_O2</t>
  </si>
  <si>
    <t>https://www.gotronic.fr/art-condensateur-radial-220uf-50v-3381.htm</t>
  </si>
  <si>
    <t xml:space="preserve">C 150 pF </t>
  </si>
  <si>
    <t>C_T3</t>
  </si>
  <si>
    <t>https://www.gotronic.fr/art-condensateur-ceramique-150-pf-3188.htm</t>
  </si>
  <si>
    <t xml:space="preserve">C 120 pF </t>
  </si>
  <si>
    <t>C_T4</t>
  </si>
  <si>
    <t>https://www.gotronic.fr/art-condensateur-ceramique-120-pf-3187.htm</t>
  </si>
  <si>
    <t>R 330 Ω</t>
  </si>
  <si>
    <t>R1, R2, R3</t>
  </si>
  <si>
    <t>https://www.gotronic.fr/art-10-resistances-1-4w-330-8486-2570.htm</t>
  </si>
  <si>
    <t>Régulateur 12V-5V (page 9)</t>
  </si>
  <si>
    <t>Condensateurs</t>
  </si>
  <si>
    <t>Résistances</t>
  </si>
  <si>
    <t>Inductances</t>
  </si>
  <si>
    <t>Diodes</t>
  </si>
  <si>
    <t>Composant</t>
  </si>
  <si>
    <t>Valeur Calculée</t>
  </si>
  <si>
    <t>Valeur Suggérée (E12/E24)</t>
  </si>
  <si>
    <t>pF (céramique)</t>
  </si>
  <si>
    <t>Ω</t>
  </si>
  <si>
    <r>
      <t>µ</t>
    </r>
    <r>
      <rPr>
        <sz val="7.7"/>
        <color theme="1"/>
        <rFont val="Aptos Narrow"/>
        <family val="2"/>
      </rPr>
      <t>H</t>
    </r>
  </si>
  <si>
    <t>1N5819</t>
  </si>
  <si>
    <t>Schottky</t>
  </si>
  <si>
    <t>CT​ (C1)</t>
  </si>
  <si>
    <t>564 pF</t>
  </si>
  <si>
    <t>560 pF (Céramique)</t>
  </si>
  <si>
    <t>µF (chimique 15-25V)</t>
  </si>
  <si>
    <t>Rsc​ (R3)</t>
  </si>
  <si>
    <t>0,3 Ω</t>
  </si>
  <si>
    <t>0,33 Ω (1/2W)</t>
  </si>
  <si>
    <t>pF</t>
  </si>
  <si>
    <t>L (L1)</t>
  </si>
  <si>
    <t>87,4μH</t>
  </si>
  <si>
    <t>100μH (Courant &gt;1,2 A)</t>
  </si>
  <si>
    <t>µF</t>
  </si>
  <si>
    <t>Co​ (C2)</t>
  </si>
  <si>
    <t>75μF</t>
  </si>
  <si>
    <t>100μF (Chimique, 16V ou 25V)</t>
  </si>
  <si>
    <t>R1​</t>
  </si>
  <si>
    <t>1,2 kΩ</t>
  </si>
  <si>
    <t>R2​</t>
  </si>
  <si>
    <t>3,6 kΩ</t>
  </si>
  <si>
    <t>D1</t>
  </si>
  <si>
    <t>Diode Schottky</t>
  </si>
  <si>
    <t>Régulateur 11,1V-5V (page 10)</t>
  </si>
  <si>
    <t>Valeur Standard (Marché)</t>
  </si>
  <si>
    <t>Rôle</t>
  </si>
  <si>
    <t>R1</t>
  </si>
  <si>
    <t>1.2kΩ</t>
  </si>
  <si>
    <t>Pont diviseur</t>
  </si>
  <si>
    <t>R2</t>
  </si>
  <si>
    <t>3.6kΩ</t>
  </si>
  <si>
    <t>Fixe la tension à 5.0V</t>
  </si>
  <si>
    <t>Rsc</t>
  </si>
  <si>
    <t>0.3Ω</t>
  </si>
  <si>
    <t>0.33Ω (1W)</t>
  </si>
  <si>
    <t>Limite le courant pic (~0.9A)</t>
  </si>
  <si>
    <t>Ct</t>
  </si>
  <si>
    <t>620pF</t>
  </si>
  <si>
    <t>680pF</t>
  </si>
  <si>
    <t>Condensateur de timing</t>
  </si>
  <si>
    <t>L1</t>
  </si>
  <si>
    <t>78μH</t>
  </si>
  <si>
    <t>100μH</t>
  </si>
  <si>
    <t>Inductance (Courant &gt; 1A)</t>
  </si>
  <si>
    <t>Co</t>
  </si>
  <si>
    <t>110μF</t>
  </si>
  <si>
    <t>220μF</t>
  </si>
  <si>
    <t>Condensateur sortie (Low ESR)</t>
  </si>
  <si>
    <t>Diode de roue libre</t>
  </si>
  <si>
    <t>Régulateur 11,1V-12V (page 11)</t>
  </si>
  <si>
    <t>1.5kΩ</t>
  </si>
  <si>
    <t>12.9kΩ</t>
  </si>
  <si>
    <t>13kΩ</t>
  </si>
  <si>
    <t>Fixe la tension à ~12.08V</t>
  </si>
  <si>
    <t>140pF</t>
  </si>
  <si>
    <t>150pF</t>
  </si>
  <si>
    <t>Critique : Valeur très faible due au rapport cyclique court.</t>
  </si>
  <si>
    <t>82μH</t>
  </si>
  <si>
    <t>Inductance (Courant &gt; 0.5A)</t>
  </si>
  <si>
    <t>0.66Ω</t>
  </si>
  <si>
    <t>0.47Ω ou 0.5Ω</t>
  </si>
  <si>
    <t>Limite de courant (~0.6A pic)</t>
  </si>
  <si>
    <t>10μF (min)</t>
  </si>
  <si>
    <t>100μF</t>
  </si>
  <si>
    <t>Électrolytique (25V)</t>
  </si>
  <si>
    <t>Diode rapide</t>
  </si>
  <si>
    <t>Régulateur 12V-12,6V (page 12)</t>
  </si>
  <si>
    <t>Valeur Standard Recommandée</t>
  </si>
  <si>
    <t>Note Technique</t>
  </si>
  <si>
    <t>1kΩ</t>
  </si>
  <si>
    <t>9.08kΩ</t>
  </si>
  <si>
    <t>9.1kΩ</t>
  </si>
  <si>
    <t>Donne Vout​≈12.62V</t>
  </si>
  <si>
    <t>120pF</t>
  </si>
  <si>
    <t>100pF ou 120pF</t>
  </si>
  <si>
    <t>Attention : Valeur très faible car le temps d'activation (ton​) est court.</t>
  </si>
  <si>
    <t>145μH</t>
  </si>
  <si>
    <t>150μH</t>
  </si>
  <si>
    <t>Pour Iout​=100mA</t>
  </si>
  <si>
    <t>1.36Ω</t>
  </si>
  <si>
    <t>1.2Ω ou 1.5Ω</t>
  </si>
  <si>
    <t>Limite le courant pic (Ipk​) à ~250mA pour protéger la charge.</t>
  </si>
  <si>
    <t>Électrolytique (Low ESR)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</si>
</sst>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7.7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64" fontId="0" fillId="0" borderId="6" xfId="0" applyNumberFormat="1" applyBorder="1"/>
    <xf numFmtId="0" fontId="0" fillId="0" borderId="8" xfId="0" applyBorder="1"/>
    <xf numFmtId="164" fontId="0" fillId="0" borderId="1" xfId="0" applyNumberFormat="1" applyBorder="1"/>
    <xf numFmtId="0" fontId="0" fillId="0" borderId="9" xfId="0" applyBorder="1"/>
    <xf numFmtId="164" fontId="0" fillId="0" borderId="0" xfId="0" applyNumberFormat="1"/>
    <xf numFmtId="0" fontId="1" fillId="0" borderId="7" xfId="1" applyBorder="1" applyAlignment="1"/>
    <xf numFmtId="0" fontId="1" fillId="0" borderId="9" xfId="1" applyBorder="1" applyAlignme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9" xfId="1" applyBorder="1"/>
    <xf numFmtId="0" fontId="1" fillId="0" borderId="7" xfId="1" applyBorder="1"/>
    <xf numFmtId="8" fontId="0" fillId="0" borderId="1" xfId="0" applyNumberFormat="1" applyBorder="1"/>
    <xf numFmtId="0" fontId="1" fillId="0" borderId="9" xfId="2" applyBorder="1"/>
    <xf numFmtId="0" fontId="2" fillId="0" borderId="10" xfId="0" applyFont="1" applyBorder="1" applyAlignment="1">
      <alignment vertical="center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2" fillId="0" borderId="16" xfId="0" applyFont="1" applyBorder="1" applyAlignment="1">
      <alignment vertical="center"/>
    </xf>
    <xf numFmtId="2" fontId="0" fillId="0" borderId="0" xfId="0" applyNumberFormat="1"/>
    <xf numFmtId="0" fontId="4" fillId="0" borderId="0" xfId="0" applyFont="1"/>
    <xf numFmtId="0" fontId="1" fillId="0" borderId="0" xfId="1"/>
    <xf numFmtId="0" fontId="1" fillId="0" borderId="0" xfId="2"/>
    <xf numFmtId="0" fontId="1" fillId="4" borderId="9" xfId="1" applyFill="1" applyBorder="1"/>
    <xf numFmtId="0" fontId="1" fillId="0" borderId="7" xfId="2" applyBorder="1"/>
    <xf numFmtId="0" fontId="1" fillId="0" borderId="7" xfId="2" applyBorder="1" applyAlignment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2"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872E5-C2D6-4451-A507-C7D94EC82082}" name="Tableau1" displayName="Tableau1" ref="B1:J39" totalsRowShown="0" headerRowDxfId="11" headerRowBorderDxfId="9" tableBorderDxfId="10" totalsRowBorderDxfId="8">
  <autoFilter ref="B1:J39" xr:uid="{11A872E5-C2D6-4451-A507-C7D94EC82082}"/>
  <tableColumns count="9">
    <tableColumn id="1" xr3:uid="{5204D935-7FB0-4997-9A6E-61D065C7B064}" name="Numéro d'article" dataDxfId="7"/>
    <tableColumn id="2" xr3:uid="{12B5AC7E-4A73-417F-8CFA-04FC64435EB7}" name="Article" dataDxfId="6"/>
    <tableColumn id="9" xr3:uid="{2D4BA82D-BEE2-47E2-8A37-8003353A60FB}" name="Type/Catégorie" dataDxfId="5"/>
    <tableColumn id="3" xr3:uid="{A5C58810-F0CB-4E9F-9C6F-37255DF2548B}" name="Quantité" dataDxfId="4"/>
    <tableColumn id="4" xr3:uid="{50857214-FE5A-41B3-80BE-E22AFF8AE011}" name="Fournisseur" dataDxfId="3"/>
    <tableColumn id="5" xr3:uid="{6860CA83-C3D4-44AF-8EA5-4F45057265A6}" name="Coût Unitaire" dataDxfId="2"/>
    <tableColumn id="6" xr3:uid="{1688C06F-6F10-4D99-AFCC-979A16287962}" name="Coût Total Estimé" dataDxfId="1">
      <calculatedColumnFormula>E2*G2</calculatedColumnFormula>
    </tableColumn>
    <tableColumn id="7" xr3:uid="{8DCDE1BB-6C26-4DF7-B2AD-8C2800296FC3}" name="Lien" dataDxfId="0"/>
    <tableColumn id="8" xr3:uid="{E34F5634-EA59-4FBE-96BE-201B7E4627F5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klope.com/samsung/2240-samsung-inr-25r-18650-2500-mah.html" TargetMode="External"/><Relationship Id="rId13" Type="http://schemas.openxmlformats.org/officeDocument/2006/relationships/hyperlink" Target="https://www.gotronic.fr/art-buzzer-sv4-3830.htm" TargetMode="External"/><Relationship Id="rId18" Type="http://schemas.openxmlformats.org/officeDocument/2006/relationships/hyperlink" Target="https://www.jzk-jzk.com/fr/products/dc-12v-electric-solenoid-lock-assembly-security-lock-for-security-system-safes-door-cabinet" TargetMode="External"/><Relationship Id="rId3" Type="http://schemas.openxmlformats.org/officeDocument/2006/relationships/hyperlink" Target="https://www.waveshare.com/7inch-hdmi-lcd-h.htm" TargetMode="External"/><Relationship Id="rId21" Type="http://schemas.openxmlformats.org/officeDocument/2006/relationships/hyperlink" Target="https://www.otronic.nl/fr/cable-usb-a-vers-micro-usb-1-metre-noir.html" TargetMode="External"/><Relationship Id="rId7" Type="http://schemas.openxmlformats.org/officeDocument/2006/relationships/hyperlink" Target="https://fr.rs-online.com/web/p/transistors-mosfet/5410086" TargetMode="External"/><Relationship Id="rId12" Type="http://schemas.openxmlformats.org/officeDocument/2006/relationships/hyperlink" Target="https://fr.rs-online.com/web/p/interrupteurs-a-bascule/1858229" TargetMode="External"/><Relationship Id="rId17" Type="http://schemas.openxmlformats.org/officeDocument/2006/relationships/hyperlink" Target="https://www.gotronic.fr/art-5-resistances-1-2w-9-1-k-8486-8835.htm" TargetMode="External"/><Relationship Id="rId2" Type="http://schemas.openxmlformats.org/officeDocument/2006/relationships/hyperlink" Target="https://eu.robotshop.com/products/elecrow-pn532-nfc-module-pn532-rfid-v3-module" TargetMode="External"/><Relationship Id="rId16" Type="http://schemas.openxmlformats.org/officeDocument/2006/relationships/hyperlink" Target="https://www.gotronic.fr/art-condensateur-radial-220uf-50v-3381.htm" TargetMode="External"/><Relationship Id="rId20" Type="http://schemas.openxmlformats.org/officeDocument/2006/relationships/hyperlink" Target="https://www.otronic.nl/fr/cable-micro-hdmi-vers-hdmi-20-1m-blanc-officiel-ra.html" TargetMode="External"/><Relationship Id="rId1" Type="http://schemas.openxmlformats.org/officeDocument/2006/relationships/hyperlink" Target="https://www.kubii.com/fr/cartes-nano-ordinateurs/3455-raspberry-pi-zero-2-w.html?src=raspberrypi" TargetMode="External"/><Relationship Id="rId6" Type="http://schemas.openxmlformats.org/officeDocument/2006/relationships/hyperlink" Target="https://www.gotronic.fr/art-porte-fusible-pf14-5553.htm" TargetMode="External"/><Relationship Id="rId11" Type="http://schemas.openxmlformats.org/officeDocument/2006/relationships/hyperlink" Target="https://www.audiophonics.fr/en/plane-type-plugs/gx12-connector-2-poles-300v-5a-o5mm-p-9979.html" TargetMode="External"/><Relationship Id="rId5" Type="http://schemas.openxmlformats.org/officeDocument/2006/relationships/hyperlink" Target="https://fr.rs-online.com/web/p/capteurs-a-effet-hall/1811441" TargetMode="External"/><Relationship Id="rId15" Type="http://schemas.openxmlformats.org/officeDocument/2006/relationships/hyperlink" Target="https://biqu.equipment/products/bigtreetech-sksm-v1-0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otronic.nl/fr/circuit-de-protection-bms-3s-avec-fonction-dequili.html" TargetMode="External"/><Relationship Id="rId19" Type="http://schemas.openxmlformats.org/officeDocument/2006/relationships/hyperlink" Target="https://www.amazon.fr/verrouillage-sol%C3%A9no%C3%AFde-%C3%A9lectrique-s%C3%A9curit%C3%A9-coffres-forts/dp/B074MX923N" TargetMode="External"/><Relationship Id="rId4" Type="http://schemas.openxmlformats.org/officeDocument/2006/relationships/hyperlink" Target="https://fr.rs-online.com/web/p/convertisseurs-dc-dc/2184547" TargetMode="External"/><Relationship Id="rId9" Type="http://schemas.openxmlformats.org/officeDocument/2006/relationships/hyperlink" Target="https://fr.rs-online.com/web/p/adaptateurs-ac-dc/1753327" TargetMode="External"/><Relationship Id="rId14" Type="http://schemas.openxmlformats.org/officeDocument/2006/relationships/hyperlink" Target="https://www.gotronic.fr/art-1n5822-105.htm" TargetMode="External"/><Relationship Id="rId22" Type="http://schemas.openxmlformats.org/officeDocument/2006/relationships/hyperlink" Target="https://fr.rs-online.com/web/p/capteurs-a-effet-hall/2892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039A-3E91-40D2-AE73-C65AEBF86DAF}">
  <dimension ref="B1:L39"/>
  <sheetViews>
    <sheetView tabSelected="1" topLeftCell="H6" zoomScaleNormal="100" workbookViewId="0">
      <selection activeCell="G21" sqref="G21"/>
    </sheetView>
  </sheetViews>
  <sheetFormatPr defaultColWidth="11.42578125" defaultRowHeight="15"/>
  <cols>
    <col min="1" max="1" width="14.140625" customWidth="1"/>
    <col min="2" max="2" width="16.85546875" customWidth="1"/>
    <col min="3" max="3" width="28.28515625" customWidth="1"/>
    <col min="4" max="4" width="25.7109375" customWidth="1"/>
    <col min="6" max="6" width="12.5703125" customWidth="1"/>
    <col min="7" max="7" width="16" customWidth="1"/>
    <col min="8" max="8" width="17.7109375" customWidth="1"/>
    <col min="9" max="9" width="146.5703125" bestFit="1" customWidth="1"/>
    <col min="10" max="10" width="34.85546875" bestFit="1" customWidth="1"/>
    <col min="11" max="11" width="15.5703125" customWidth="1"/>
  </cols>
  <sheetData>
    <row r="1" spans="2:1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</row>
    <row r="2" spans="2:11">
      <c r="B2" s="4">
        <v>1</v>
      </c>
      <c r="C2" t="s">
        <v>9</v>
      </c>
      <c r="D2" s="5" t="s">
        <v>10</v>
      </c>
      <c r="E2" s="5">
        <v>3</v>
      </c>
      <c r="F2" s="5" t="s">
        <v>11</v>
      </c>
      <c r="G2" s="8">
        <v>18</v>
      </c>
      <c r="H2" s="8">
        <f>E2*G2</f>
        <v>54</v>
      </c>
      <c r="I2" s="13" t="s">
        <v>12</v>
      </c>
    </row>
    <row r="3" spans="2:11">
      <c r="B3" s="9">
        <v>2</v>
      </c>
      <c r="C3" s="6" t="s">
        <v>13</v>
      </c>
      <c r="D3" t="s">
        <v>14</v>
      </c>
      <c r="E3" s="6">
        <v>3</v>
      </c>
      <c r="F3" s="6" t="s">
        <v>15</v>
      </c>
      <c r="G3" s="12">
        <v>16.25</v>
      </c>
      <c r="H3" s="10">
        <f t="shared" ref="H3:H15" si="0">E3*G3</f>
        <v>48.75</v>
      </c>
      <c r="I3" s="19" t="s">
        <v>16</v>
      </c>
    </row>
    <row r="4" spans="2:11">
      <c r="B4" s="9">
        <v>3</v>
      </c>
      <c r="C4" s="6" t="s">
        <v>17</v>
      </c>
      <c r="D4" t="s">
        <v>18</v>
      </c>
      <c r="E4" s="6">
        <v>3</v>
      </c>
      <c r="F4" s="6" t="s">
        <v>19</v>
      </c>
      <c r="G4" s="10">
        <v>5.94</v>
      </c>
      <c r="H4" s="10">
        <f t="shared" si="0"/>
        <v>17.82</v>
      </c>
      <c r="I4" s="14" t="s">
        <v>20</v>
      </c>
    </row>
    <row r="5" spans="2:11">
      <c r="B5" s="9">
        <v>4</v>
      </c>
      <c r="C5" s="6" t="s">
        <v>21</v>
      </c>
      <c r="D5" t="s">
        <v>22</v>
      </c>
      <c r="E5" s="6">
        <v>3</v>
      </c>
      <c r="F5" s="6" t="s">
        <v>23</v>
      </c>
      <c r="G5" s="10">
        <v>47.99</v>
      </c>
      <c r="H5" s="10">
        <f t="shared" si="0"/>
        <v>143.97</v>
      </c>
      <c r="I5" s="19" t="s">
        <v>24</v>
      </c>
    </row>
    <row r="6" spans="2:11">
      <c r="B6" s="9">
        <v>5</v>
      </c>
      <c r="C6" s="6" t="s">
        <v>25</v>
      </c>
      <c r="D6" s="6" t="s">
        <v>26</v>
      </c>
      <c r="E6" s="6">
        <v>3</v>
      </c>
      <c r="F6" s="6" t="s">
        <v>27</v>
      </c>
      <c r="G6" s="10">
        <v>8.6300000000000008</v>
      </c>
      <c r="H6" s="10">
        <f t="shared" si="0"/>
        <v>25.89</v>
      </c>
      <c r="I6" s="37" t="s">
        <v>28</v>
      </c>
      <c r="J6" t="s">
        <v>29</v>
      </c>
      <c r="K6" s="38" t="s">
        <v>30</v>
      </c>
    </row>
    <row r="7" spans="2:11">
      <c r="B7" s="9">
        <v>6</v>
      </c>
      <c r="C7" s="6" t="s">
        <v>31</v>
      </c>
      <c r="D7" s="6" t="s">
        <v>32</v>
      </c>
      <c r="E7" s="6">
        <v>6</v>
      </c>
      <c r="F7" s="6" t="s">
        <v>23</v>
      </c>
      <c r="G7" s="10">
        <v>0.9</v>
      </c>
      <c r="H7" s="10">
        <f t="shared" si="0"/>
        <v>5.4</v>
      </c>
      <c r="I7" s="11" t="s">
        <v>33</v>
      </c>
    </row>
    <row r="8" spans="2:11">
      <c r="B8" s="9">
        <v>7</v>
      </c>
      <c r="C8" s="6" t="s">
        <v>34</v>
      </c>
      <c r="D8" s="6" t="s">
        <v>35</v>
      </c>
      <c r="E8" s="6">
        <v>3</v>
      </c>
      <c r="F8" s="6" t="s">
        <v>23</v>
      </c>
      <c r="G8" s="10">
        <v>3.6</v>
      </c>
      <c r="H8" s="10">
        <f t="shared" si="0"/>
        <v>10.8</v>
      </c>
      <c r="I8" s="22" t="s">
        <v>36</v>
      </c>
    </row>
    <row r="9" spans="2:11">
      <c r="B9" s="9">
        <v>8</v>
      </c>
      <c r="C9" s="6" t="s">
        <v>37</v>
      </c>
      <c r="D9" s="6" t="s">
        <v>38</v>
      </c>
      <c r="E9" s="6">
        <v>9</v>
      </c>
      <c r="F9" s="6" t="s">
        <v>39</v>
      </c>
      <c r="G9" s="10">
        <v>4.3</v>
      </c>
      <c r="H9" s="10">
        <f t="shared" si="0"/>
        <v>38.699999999999996</v>
      </c>
      <c r="I9" s="19" t="s">
        <v>40</v>
      </c>
    </row>
    <row r="10" spans="2:11">
      <c r="B10" s="9">
        <v>9</v>
      </c>
      <c r="C10" s="6" t="s">
        <v>41</v>
      </c>
      <c r="D10" s="6" t="s">
        <v>42</v>
      </c>
      <c r="E10" s="6">
        <v>25</v>
      </c>
      <c r="F10" s="6" t="s">
        <v>27</v>
      </c>
      <c r="G10" s="10">
        <v>0.57099999999999995</v>
      </c>
      <c r="H10" s="10">
        <f t="shared" si="0"/>
        <v>14.274999999999999</v>
      </c>
      <c r="I10" s="19" t="s">
        <v>43</v>
      </c>
    </row>
    <row r="11" spans="2:11">
      <c r="B11" s="9">
        <v>10</v>
      </c>
      <c r="C11" s="6" t="s">
        <v>44</v>
      </c>
      <c r="D11" s="6" t="s">
        <v>45</v>
      </c>
      <c r="E11" s="6">
        <v>3</v>
      </c>
      <c r="F11" s="6" t="s">
        <v>27</v>
      </c>
      <c r="G11" s="10">
        <v>4.5</v>
      </c>
      <c r="H11" s="10">
        <f t="shared" si="0"/>
        <v>13.5</v>
      </c>
      <c r="I11" s="19" t="s">
        <v>46</v>
      </c>
    </row>
    <row r="12" spans="2:11">
      <c r="B12" s="9">
        <v>11</v>
      </c>
      <c r="C12" s="6" t="s">
        <v>47</v>
      </c>
      <c r="D12" s="6" t="s">
        <v>48</v>
      </c>
      <c r="E12" s="6">
        <v>3</v>
      </c>
      <c r="F12" s="6" t="s">
        <v>49</v>
      </c>
      <c r="G12" s="10">
        <v>11.49</v>
      </c>
      <c r="H12" s="10">
        <f t="shared" si="0"/>
        <v>34.47</v>
      </c>
      <c r="I12" s="22" t="s">
        <v>50</v>
      </c>
      <c r="J12" t="s">
        <v>51</v>
      </c>
      <c r="K12" s="36" t="s">
        <v>52</v>
      </c>
    </row>
    <row r="13" spans="2:11">
      <c r="B13" s="9">
        <v>12</v>
      </c>
      <c r="C13" s="6" t="s">
        <v>53</v>
      </c>
      <c r="D13" s="6" t="s">
        <v>54</v>
      </c>
      <c r="E13" s="6">
        <v>3</v>
      </c>
      <c r="F13" s="6" t="s">
        <v>23</v>
      </c>
      <c r="G13" s="10">
        <v>0.25</v>
      </c>
      <c r="H13" s="10">
        <f t="shared" si="0"/>
        <v>0.75</v>
      </c>
      <c r="I13" s="19" t="s">
        <v>55</v>
      </c>
    </row>
    <row r="14" spans="2:11">
      <c r="B14" s="9">
        <v>13</v>
      </c>
      <c r="C14" s="6" t="s">
        <v>56</v>
      </c>
      <c r="D14" s="6" t="s">
        <v>57</v>
      </c>
      <c r="E14" s="6">
        <v>6</v>
      </c>
      <c r="F14" s="6" t="s">
        <v>23</v>
      </c>
      <c r="G14" s="10">
        <v>0.25</v>
      </c>
      <c r="H14" s="10">
        <f t="shared" si="0"/>
        <v>1.5</v>
      </c>
      <c r="I14" s="11" t="s">
        <v>58</v>
      </c>
    </row>
    <row r="15" spans="2:11">
      <c r="B15" s="4">
        <v>14</v>
      </c>
      <c r="C15" s="5" t="s">
        <v>59</v>
      </c>
      <c r="D15" s="5" t="s">
        <v>60</v>
      </c>
      <c r="E15" s="5">
        <v>20</v>
      </c>
      <c r="F15" s="5" t="s">
        <v>23</v>
      </c>
      <c r="G15" s="8">
        <v>0.5</v>
      </c>
      <c r="H15" s="8">
        <f t="shared" si="0"/>
        <v>10</v>
      </c>
      <c r="I15" s="20" t="s">
        <v>61</v>
      </c>
    </row>
    <row r="16" spans="2:11">
      <c r="B16" s="9">
        <v>15</v>
      </c>
      <c r="C16" s="6" t="s">
        <v>62</v>
      </c>
      <c r="D16" s="6" t="s">
        <v>63</v>
      </c>
      <c r="E16" s="6">
        <v>3</v>
      </c>
      <c r="F16" s="6" t="s">
        <v>27</v>
      </c>
      <c r="G16" s="10">
        <v>25.98</v>
      </c>
      <c r="H16" s="10">
        <f t="shared" ref="H16:H17" si="1">E16*G16</f>
        <v>77.94</v>
      </c>
      <c r="I16" s="19" t="s">
        <v>64</v>
      </c>
    </row>
    <row r="17" spans="2:12">
      <c r="B17" s="4">
        <v>16</v>
      </c>
      <c r="C17" s="5" t="s">
        <v>65</v>
      </c>
      <c r="D17" s="5" t="s">
        <v>66</v>
      </c>
      <c r="E17" s="5">
        <v>3</v>
      </c>
      <c r="F17" s="5" t="s">
        <v>67</v>
      </c>
      <c r="G17" s="8">
        <v>1.9</v>
      </c>
      <c r="H17" s="8">
        <f t="shared" si="1"/>
        <v>5.6999999999999993</v>
      </c>
      <c r="I17" s="20" t="s">
        <v>68</v>
      </c>
    </row>
    <row r="18" spans="2:12">
      <c r="B18" s="4">
        <v>17</v>
      </c>
      <c r="C18" s="5" t="s">
        <v>69</v>
      </c>
      <c r="D18" s="5" t="s">
        <v>70</v>
      </c>
      <c r="E18" s="5">
        <v>3</v>
      </c>
      <c r="F18" s="5" t="s">
        <v>27</v>
      </c>
      <c r="G18" s="8">
        <v>1.28</v>
      </c>
      <c r="H18" s="8">
        <f>E18*G18</f>
        <v>3.84</v>
      </c>
      <c r="I18" s="20" t="s">
        <v>71</v>
      </c>
      <c r="K18" s="15" t="s">
        <v>72</v>
      </c>
      <c r="L18" s="16">
        <f>SUM(Tableau1[Coût Total Estimé])</f>
        <v>567.40499999999986</v>
      </c>
    </row>
    <row r="19" spans="2:12">
      <c r="B19" s="4">
        <v>18</v>
      </c>
      <c r="C19" s="5" t="s">
        <v>73</v>
      </c>
      <c r="D19" s="5" t="s">
        <v>74</v>
      </c>
      <c r="E19" s="5">
        <v>3</v>
      </c>
      <c r="F19" s="5" t="s">
        <v>75</v>
      </c>
      <c r="G19" s="8">
        <v>7</v>
      </c>
      <c r="H19" s="8">
        <f>E19*G19</f>
        <v>21</v>
      </c>
      <c r="I19" s="39" t="s">
        <v>76</v>
      </c>
      <c r="K19" s="17" t="s">
        <v>77</v>
      </c>
      <c r="L19" s="18">
        <f>L18/3</f>
        <v>189.13499999999996</v>
      </c>
    </row>
    <row r="20" spans="2:12">
      <c r="B20" s="9">
        <v>19</v>
      </c>
      <c r="C20" s="6" t="s">
        <v>78</v>
      </c>
      <c r="D20" s="6" t="s">
        <v>79</v>
      </c>
      <c r="E20" s="6">
        <v>3</v>
      </c>
      <c r="F20" s="6" t="s">
        <v>75</v>
      </c>
      <c r="G20" s="21">
        <v>2.0499999999999998</v>
      </c>
      <c r="H20" s="10">
        <f>E20*Tableau1[[#This Row],[Coût Unitaire]]</f>
        <v>6.1499999999999995</v>
      </c>
      <c r="I20" s="14" t="s">
        <v>80</v>
      </c>
    </row>
    <row r="21" spans="2:12">
      <c r="B21" s="4">
        <v>20</v>
      </c>
      <c r="C21" s="5" t="s">
        <v>81</v>
      </c>
      <c r="D21" s="5" t="s">
        <v>74</v>
      </c>
      <c r="E21" s="5">
        <v>3</v>
      </c>
      <c r="F21" s="5" t="s">
        <v>75</v>
      </c>
      <c r="G21" s="8">
        <v>2</v>
      </c>
      <c r="H21" s="8">
        <f>E21*G21</f>
        <v>6</v>
      </c>
      <c r="I21" s="40" t="s">
        <v>82</v>
      </c>
    </row>
    <row r="22" spans="2:12">
      <c r="B22" s="9">
        <v>21</v>
      </c>
      <c r="C22" s="6" t="s">
        <v>83</v>
      </c>
      <c r="D22" s="6" t="s">
        <v>84</v>
      </c>
      <c r="E22" s="6">
        <f xml:space="preserve"> 3 *3</f>
        <v>9</v>
      </c>
      <c r="F22" s="6" t="s">
        <v>23</v>
      </c>
      <c r="G22" s="21">
        <v>0.6</v>
      </c>
      <c r="H22" s="8">
        <f t="shared" ref="H22" si="2">E22*G22</f>
        <v>5.3999999999999995</v>
      </c>
      <c r="I22" s="11" t="s">
        <v>85</v>
      </c>
    </row>
    <row r="23" spans="2:12">
      <c r="B23" s="4">
        <v>22</v>
      </c>
      <c r="C23" s="6" t="s">
        <v>86</v>
      </c>
      <c r="D23" s="6" t="s">
        <v>87</v>
      </c>
      <c r="E23" s="6">
        <f>1 * 3</f>
        <v>3</v>
      </c>
      <c r="F23" s="6" t="s">
        <v>88</v>
      </c>
      <c r="G23" s="10">
        <v>1.78</v>
      </c>
      <c r="H23" s="8">
        <f>E23*G23</f>
        <v>5.34</v>
      </c>
      <c r="I23" s="11" t="s">
        <v>89</v>
      </c>
    </row>
    <row r="24" spans="2:12">
      <c r="B24" s="9">
        <v>23</v>
      </c>
      <c r="C24" s="5" t="s">
        <v>90</v>
      </c>
      <c r="D24" s="5" t="s">
        <v>91</v>
      </c>
      <c r="E24" s="5">
        <v>5</v>
      </c>
      <c r="F24" s="5" t="s">
        <v>92</v>
      </c>
      <c r="G24" s="8">
        <v>0.1</v>
      </c>
      <c r="H24" s="8">
        <f>E24*G24</f>
        <v>0.5</v>
      </c>
      <c r="I24" s="7" t="s">
        <v>93</v>
      </c>
    </row>
    <row r="25" spans="2:12">
      <c r="B25" s="4">
        <v>24</v>
      </c>
      <c r="C25" s="6" t="s">
        <v>94</v>
      </c>
      <c r="D25" s="5" t="s">
        <v>95</v>
      </c>
      <c r="E25" s="6">
        <v>1</v>
      </c>
      <c r="F25" s="6" t="s">
        <v>23</v>
      </c>
      <c r="G25" s="10">
        <v>0.15</v>
      </c>
      <c r="H25" s="10">
        <f t="shared" ref="H25:H39" si="3">E25*G25</f>
        <v>0.15</v>
      </c>
      <c r="I25" s="11" t="s">
        <v>96</v>
      </c>
    </row>
    <row r="26" spans="2:12">
      <c r="B26" s="9">
        <v>25</v>
      </c>
      <c r="C26" s="6" t="s">
        <v>97</v>
      </c>
      <c r="D26" s="5" t="s">
        <v>98</v>
      </c>
      <c r="E26" s="6">
        <v>2</v>
      </c>
      <c r="F26" s="6" t="s">
        <v>27</v>
      </c>
      <c r="G26" s="12">
        <v>4.28</v>
      </c>
      <c r="H26" s="12">
        <f>Tableau1[[#This Row],[Coût Unitaire]]*Tableau1[[#This Row],[Quantité]]</f>
        <v>8.56</v>
      </c>
      <c r="I26" s="11" t="s">
        <v>99</v>
      </c>
    </row>
    <row r="27" spans="2:12">
      <c r="B27" s="4">
        <v>26</v>
      </c>
      <c r="C27" s="6" t="s">
        <v>100</v>
      </c>
      <c r="D27" s="5" t="s">
        <v>101</v>
      </c>
      <c r="E27" s="6">
        <v>1</v>
      </c>
      <c r="F27" s="6" t="s">
        <v>23</v>
      </c>
      <c r="G27" s="10">
        <v>0.25</v>
      </c>
      <c r="H27" s="10">
        <f t="shared" si="3"/>
        <v>0.25</v>
      </c>
      <c r="I27" s="19" t="s">
        <v>102</v>
      </c>
    </row>
    <row r="28" spans="2:12">
      <c r="B28" s="9">
        <v>27</v>
      </c>
      <c r="C28" s="6" t="s">
        <v>103</v>
      </c>
      <c r="D28" s="5" t="s">
        <v>104</v>
      </c>
      <c r="E28" s="6">
        <v>1</v>
      </c>
      <c r="F28" s="6" t="s">
        <v>23</v>
      </c>
      <c r="G28" s="10">
        <v>0.15</v>
      </c>
      <c r="H28" s="10">
        <f t="shared" si="3"/>
        <v>0.15</v>
      </c>
      <c r="I28" s="11" t="s">
        <v>105</v>
      </c>
    </row>
    <row r="29" spans="2:12">
      <c r="B29" s="4">
        <v>28</v>
      </c>
      <c r="C29" s="6" t="s">
        <v>106</v>
      </c>
      <c r="D29" s="5" t="s">
        <v>107</v>
      </c>
      <c r="E29" s="6">
        <v>1</v>
      </c>
      <c r="F29" s="6" t="s">
        <v>23</v>
      </c>
      <c r="G29" s="10">
        <v>0.15</v>
      </c>
      <c r="H29" s="10">
        <f t="shared" si="3"/>
        <v>0.15</v>
      </c>
      <c r="I29" s="11" t="s">
        <v>108</v>
      </c>
    </row>
    <row r="30" spans="2:12">
      <c r="B30" s="9">
        <v>29</v>
      </c>
      <c r="C30" s="6" t="s">
        <v>109</v>
      </c>
      <c r="D30" s="5" t="s">
        <v>110</v>
      </c>
      <c r="E30" s="6">
        <v>2</v>
      </c>
      <c r="F30" s="6" t="s">
        <v>23</v>
      </c>
      <c r="G30" s="10">
        <v>0.55000000000000004</v>
      </c>
      <c r="H30" s="10">
        <f t="shared" si="3"/>
        <v>1.1000000000000001</v>
      </c>
      <c r="I30" s="11" t="s">
        <v>111</v>
      </c>
    </row>
    <row r="31" spans="2:12">
      <c r="B31" s="4">
        <v>30</v>
      </c>
      <c r="C31" s="6" t="s">
        <v>112</v>
      </c>
      <c r="D31" s="5" t="s">
        <v>113</v>
      </c>
      <c r="E31" s="6">
        <v>2</v>
      </c>
      <c r="F31" s="6" t="s">
        <v>23</v>
      </c>
      <c r="G31" s="10">
        <v>0.55000000000000004</v>
      </c>
      <c r="H31" s="10">
        <f t="shared" si="3"/>
        <v>1.1000000000000001</v>
      </c>
      <c r="I31" s="11" t="s">
        <v>114</v>
      </c>
    </row>
    <row r="32" spans="2:12">
      <c r="B32" s="9">
        <v>31</v>
      </c>
      <c r="C32" s="6" t="s">
        <v>115</v>
      </c>
      <c r="D32" s="5" t="s">
        <v>116</v>
      </c>
      <c r="E32" s="6">
        <v>1</v>
      </c>
      <c r="F32" s="6" t="s">
        <v>23</v>
      </c>
      <c r="G32" s="10">
        <v>0.15</v>
      </c>
      <c r="H32" s="10">
        <f t="shared" si="3"/>
        <v>0.15</v>
      </c>
      <c r="I32" s="11" t="s">
        <v>117</v>
      </c>
    </row>
    <row r="33" spans="2:9">
      <c r="B33" s="4">
        <v>32</v>
      </c>
      <c r="C33" s="6" t="s">
        <v>118</v>
      </c>
      <c r="D33" s="6" t="s">
        <v>119</v>
      </c>
      <c r="E33" s="6">
        <v>1</v>
      </c>
      <c r="F33" s="6" t="s">
        <v>23</v>
      </c>
      <c r="G33" s="10">
        <v>0.1</v>
      </c>
      <c r="H33" s="10">
        <f t="shared" si="3"/>
        <v>0.1</v>
      </c>
      <c r="I33" s="11" t="s">
        <v>120</v>
      </c>
    </row>
    <row r="34" spans="2:9">
      <c r="B34" s="9">
        <v>33</v>
      </c>
      <c r="C34" s="6" t="s">
        <v>121</v>
      </c>
      <c r="D34" s="6" t="s">
        <v>122</v>
      </c>
      <c r="E34" s="6">
        <v>15</v>
      </c>
      <c r="F34" s="6" t="s">
        <v>23</v>
      </c>
      <c r="G34" s="10">
        <v>0.2</v>
      </c>
      <c r="H34" s="10">
        <f t="shared" si="3"/>
        <v>3</v>
      </c>
      <c r="I34" s="11" t="s">
        <v>123</v>
      </c>
    </row>
    <row r="35" spans="2:9">
      <c r="B35" s="4">
        <v>34</v>
      </c>
      <c r="C35" s="6" t="s">
        <v>124</v>
      </c>
      <c r="D35" s="6" t="s">
        <v>125</v>
      </c>
      <c r="E35" s="6">
        <v>1</v>
      </c>
      <c r="F35" s="6" t="s">
        <v>23</v>
      </c>
      <c r="G35" s="10">
        <v>0.1</v>
      </c>
      <c r="H35" s="10">
        <f t="shared" si="3"/>
        <v>0.1</v>
      </c>
      <c r="I35" s="11" t="s">
        <v>126</v>
      </c>
    </row>
    <row r="36" spans="2:9">
      <c r="B36" s="9">
        <v>35</v>
      </c>
      <c r="C36" s="6" t="s">
        <v>127</v>
      </c>
      <c r="D36" s="6" t="s">
        <v>128</v>
      </c>
      <c r="E36" s="6">
        <v>5</v>
      </c>
      <c r="F36" s="6" t="s">
        <v>23</v>
      </c>
      <c r="G36" s="10">
        <v>0.1</v>
      </c>
      <c r="H36" s="10">
        <f t="shared" si="3"/>
        <v>0.5</v>
      </c>
      <c r="I36" s="19" t="s">
        <v>129</v>
      </c>
    </row>
    <row r="37" spans="2:9">
      <c r="B37" s="4">
        <v>36</v>
      </c>
      <c r="C37" s="6" t="s">
        <v>130</v>
      </c>
      <c r="D37" s="6" t="s">
        <v>131</v>
      </c>
      <c r="E37" s="6">
        <v>1</v>
      </c>
      <c r="F37" s="6" t="s">
        <v>23</v>
      </c>
      <c r="G37" s="10">
        <v>0.1</v>
      </c>
      <c r="H37" s="10">
        <f t="shared" si="3"/>
        <v>0.1</v>
      </c>
      <c r="I37" s="11" t="s">
        <v>132</v>
      </c>
    </row>
    <row r="38" spans="2:9">
      <c r="B38" s="9">
        <v>37</v>
      </c>
      <c r="C38" s="6" t="s">
        <v>133</v>
      </c>
      <c r="D38" s="6" t="s">
        <v>134</v>
      </c>
      <c r="E38" s="6">
        <v>1</v>
      </c>
      <c r="F38" s="6" t="s">
        <v>23</v>
      </c>
      <c r="G38" s="10">
        <v>0.1</v>
      </c>
      <c r="H38" s="10">
        <f t="shared" si="3"/>
        <v>0.1</v>
      </c>
      <c r="I38" s="11" t="s">
        <v>135</v>
      </c>
    </row>
    <row r="39" spans="2:9">
      <c r="B39" s="4">
        <v>38</v>
      </c>
      <c r="C39" s="5" t="s">
        <v>136</v>
      </c>
      <c r="D39" s="5" t="s">
        <v>137</v>
      </c>
      <c r="E39" s="5">
        <v>1</v>
      </c>
      <c r="F39" s="5" t="s">
        <v>23</v>
      </c>
      <c r="G39" s="8">
        <v>0.2</v>
      </c>
      <c r="H39" s="8">
        <f t="shared" si="3"/>
        <v>0.2</v>
      </c>
      <c r="I39" s="7" t="s">
        <v>138</v>
      </c>
    </row>
  </sheetData>
  <hyperlinks>
    <hyperlink ref="I2" r:id="rId1" xr:uid="{3EECE4F6-A0A5-4502-BA0D-B4742EBD2850}"/>
    <hyperlink ref="I4" r:id="rId2" xr:uid="{6E8666AE-5ABC-4939-81BA-2612FF0E13CB}"/>
    <hyperlink ref="I5" r:id="rId3" xr:uid="{5BAE6F4D-F204-43EA-ACBB-F9B05BE6971F}"/>
    <hyperlink ref="I10" r:id="rId4" xr:uid="{AAEBCA8B-D485-49FF-813B-C6EAB5F354E2}"/>
    <hyperlink ref="K6" r:id="rId5" xr:uid="{9734389C-65F8-4B1C-8161-6B74A930494A}"/>
    <hyperlink ref="I13" r:id="rId6" xr:uid="{A24F2B43-3316-4FD2-9D89-7CF3C9CFA28D}"/>
    <hyperlink ref="I18" r:id="rId7" xr:uid="{60C6A893-5CAC-44D3-889C-43E0A0A952B8}"/>
    <hyperlink ref="I9" r:id="rId8" xr:uid="{8E529043-E738-4492-A813-55889E34A47D}"/>
    <hyperlink ref="I16" r:id="rId9" xr:uid="{93118ABD-BE9E-4C74-9DAF-C71D2800D882}"/>
    <hyperlink ref="I20" r:id="rId10" xr:uid="{46770626-9718-4B52-BE55-70DD534F13B1}"/>
    <hyperlink ref="I17" r:id="rId11" xr:uid="{40C1FEFF-38FF-4729-9E4C-62DAC9FE693B}"/>
    <hyperlink ref="I11" r:id="rId12" xr:uid="{FB710C8C-291C-49BF-9674-EFCC41ED3162}"/>
    <hyperlink ref="I8" r:id="rId13" xr:uid="{150ACE3F-7186-4E72-BF60-C9FE870723E9}"/>
    <hyperlink ref="I15" r:id="rId14" xr:uid="{F5469FD1-DE44-4435-B5E5-C55E236CAE56}"/>
    <hyperlink ref="I3" r:id="rId15" xr:uid="{2C9E413F-2692-4FF3-BCAB-FC6AA25015AE}"/>
    <hyperlink ref="I36" r:id="rId16" xr:uid="{57DC50A0-E322-482E-B2F7-9D630FDB0059}"/>
    <hyperlink ref="I27" r:id="rId17" xr:uid="{BAABC369-0253-4072-AB76-8A87BD492EFD}"/>
    <hyperlink ref="K12" r:id="rId18" xr:uid="{C8C6D82B-BAC6-41DA-AF6D-E69815BA6F71}"/>
    <hyperlink ref="I12" r:id="rId19" xr:uid="{E3C5412B-E0A1-4ECB-8BFC-EB07306F85C1}"/>
    <hyperlink ref="I19" r:id="rId20" xr:uid="{6A15A006-6D2C-4BB5-AA58-CECA1ECF8228}"/>
    <hyperlink ref="I21" r:id="rId21" xr:uid="{9C3628A6-6AAB-4AFD-ADFF-8B1E38991E03}"/>
    <hyperlink ref="I6" r:id="rId22" xr:uid="{D12A7AC3-57F1-425F-A5A8-5E7784D7D678}"/>
  </hyperlinks>
  <pageMargins left="0.7" right="0.7" top="0.75" bottom="0.75" header="0.3" footer="0.3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AD50-7948-474E-96DC-AAF0C888B716}">
  <dimension ref="B2:R40"/>
  <sheetViews>
    <sheetView zoomScale="70" zoomScaleNormal="70" workbookViewId="0">
      <selection activeCell="I7" sqref="I7"/>
    </sheetView>
  </sheetViews>
  <sheetFormatPr defaultColWidth="11.42578125" defaultRowHeight="15"/>
  <sheetData>
    <row r="2" spans="2:18" ht="15.75" thickBot="1"/>
    <row r="3" spans="2:18" ht="15.75" thickBot="1">
      <c r="B3" s="23" t="s">
        <v>139</v>
      </c>
      <c r="C3" s="24"/>
      <c r="D3" s="25"/>
      <c r="E3" s="26"/>
      <c r="G3" t="s">
        <v>140</v>
      </c>
      <c r="K3" t="s">
        <v>141</v>
      </c>
      <c r="N3" t="s">
        <v>142</v>
      </c>
      <c r="Q3" t="s">
        <v>143</v>
      </c>
    </row>
    <row r="4" spans="2:18" ht="39.75" thickBot="1">
      <c r="B4" s="27" t="s">
        <v>144</v>
      </c>
      <c r="C4" s="28" t="s">
        <v>145</v>
      </c>
      <c r="D4" s="28" t="s">
        <v>146</v>
      </c>
      <c r="E4" s="26"/>
      <c r="G4" s="34">
        <v>560</v>
      </c>
      <c r="H4" t="s">
        <v>147</v>
      </c>
      <c r="J4">
        <v>2</v>
      </c>
      <c r="K4">
        <v>0.33</v>
      </c>
      <c r="L4" s="35" t="s">
        <v>148</v>
      </c>
      <c r="M4">
        <v>3</v>
      </c>
      <c r="N4">
        <v>100</v>
      </c>
      <c r="O4" s="35" t="s">
        <v>149</v>
      </c>
      <c r="P4" s="35">
        <v>4</v>
      </c>
      <c r="Q4" s="30" t="s">
        <v>150</v>
      </c>
      <c r="R4" s="30" t="s">
        <v>151</v>
      </c>
    </row>
    <row r="5" spans="2:18" ht="27" thickBot="1">
      <c r="B5" s="29" t="s">
        <v>152</v>
      </c>
      <c r="C5" s="30" t="s">
        <v>153</v>
      </c>
      <c r="D5" s="30" t="s">
        <v>154</v>
      </c>
      <c r="E5" s="26"/>
      <c r="F5">
        <v>8</v>
      </c>
      <c r="G5">
        <v>100</v>
      </c>
      <c r="H5" t="s">
        <v>155</v>
      </c>
      <c r="J5">
        <v>2</v>
      </c>
      <c r="K5">
        <v>1200</v>
      </c>
      <c r="L5" s="35" t="s">
        <v>148</v>
      </c>
      <c r="N5">
        <v>150</v>
      </c>
      <c r="O5" s="35" t="s">
        <v>149</v>
      </c>
    </row>
    <row r="6" spans="2:18" ht="27" thickBot="1">
      <c r="B6" s="29" t="s">
        <v>156</v>
      </c>
      <c r="C6" s="30" t="s">
        <v>157</v>
      </c>
      <c r="D6" s="30" t="s">
        <v>158</v>
      </c>
      <c r="E6" s="26"/>
      <c r="G6">
        <v>680</v>
      </c>
      <c r="H6" t="s">
        <v>159</v>
      </c>
      <c r="J6">
        <v>2</v>
      </c>
      <c r="K6">
        <v>3600</v>
      </c>
      <c r="L6" s="35" t="s">
        <v>148</v>
      </c>
    </row>
    <row r="7" spans="2:18" ht="39.75" thickBot="1">
      <c r="B7" s="29" t="s">
        <v>160</v>
      </c>
      <c r="C7" s="30" t="s">
        <v>161</v>
      </c>
      <c r="D7" s="30" t="s">
        <v>162</v>
      </c>
      <c r="E7" s="26"/>
      <c r="G7">
        <v>220</v>
      </c>
      <c r="H7" s="35" t="s">
        <v>163</v>
      </c>
      <c r="K7">
        <v>1500</v>
      </c>
      <c r="L7" s="35" t="s">
        <v>148</v>
      </c>
    </row>
    <row r="8" spans="2:18" ht="39.75" thickBot="1">
      <c r="B8" s="29" t="s">
        <v>164</v>
      </c>
      <c r="C8" s="30" t="s">
        <v>165</v>
      </c>
      <c r="D8" s="30" t="s">
        <v>166</v>
      </c>
      <c r="E8" s="26"/>
      <c r="G8">
        <v>150</v>
      </c>
      <c r="H8" s="35" t="s">
        <v>159</v>
      </c>
      <c r="K8">
        <v>13000</v>
      </c>
      <c r="L8" s="35" t="s">
        <v>148</v>
      </c>
    </row>
    <row r="9" spans="2:18" ht="15.75" thickBot="1">
      <c r="B9" s="29" t="s">
        <v>167</v>
      </c>
      <c r="C9" s="30" t="s">
        <v>168</v>
      </c>
      <c r="D9" s="30" t="s">
        <v>168</v>
      </c>
      <c r="E9" s="26"/>
      <c r="G9">
        <v>120</v>
      </c>
      <c r="H9" s="35" t="s">
        <v>159</v>
      </c>
      <c r="K9">
        <v>0.47</v>
      </c>
      <c r="L9" s="35" t="s">
        <v>148</v>
      </c>
    </row>
    <row r="10" spans="2:18" ht="15.75" thickBot="1">
      <c r="B10" s="29" t="s">
        <v>169</v>
      </c>
      <c r="C10" s="30" t="s">
        <v>170</v>
      </c>
      <c r="D10" s="30" t="s">
        <v>170</v>
      </c>
      <c r="E10" s="26"/>
      <c r="K10">
        <v>1000</v>
      </c>
      <c r="L10" s="35" t="s">
        <v>148</v>
      </c>
    </row>
    <row r="11" spans="2:18" ht="27" thickBot="1">
      <c r="B11" s="29" t="s">
        <v>171</v>
      </c>
      <c r="C11" s="30" t="s">
        <v>172</v>
      </c>
      <c r="D11" s="30" t="s">
        <v>150</v>
      </c>
      <c r="E11" s="26"/>
      <c r="K11">
        <v>9100</v>
      </c>
      <c r="L11" s="35" t="s">
        <v>148</v>
      </c>
    </row>
    <row r="12" spans="2:18" ht="15.75" thickBot="1">
      <c r="B12" s="31"/>
      <c r="C12" s="32"/>
      <c r="D12" s="32"/>
      <c r="E12" s="32"/>
      <c r="K12">
        <v>1.5</v>
      </c>
      <c r="L12" s="35" t="s">
        <v>148</v>
      </c>
    </row>
    <row r="13" spans="2:18" ht="15.75" thickBot="1">
      <c r="B13" s="33" t="s">
        <v>173</v>
      </c>
      <c r="C13" s="32"/>
      <c r="D13" s="32"/>
      <c r="E13" s="30"/>
    </row>
    <row r="14" spans="2:18" ht="39.75" thickBot="1">
      <c r="B14" s="27" t="s">
        <v>144</v>
      </c>
      <c r="C14" s="28" t="s">
        <v>145</v>
      </c>
      <c r="D14" s="28" t="s">
        <v>174</v>
      </c>
      <c r="E14" s="28" t="s">
        <v>175</v>
      </c>
    </row>
    <row r="15" spans="2:18" ht="27" thickBot="1">
      <c r="B15" s="29" t="s">
        <v>176</v>
      </c>
      <c r="C15" s="30" t="s">
        <v>177</v>
      </c>
      <c r="D15" s="30" t="s">
        <v>177</v>
      </c>
      <c r="E15" s="30" t="s">
        <v>178</v>
      </c>
    </row>
    <row r="16" spans="2:18" ht="39.75" thickBot="1">
      <c r="B16" s="29" t="s">
        <v>179</v>
      </c>
      <c r="C16" s="30" t="s">
        <v>180</v>
      </c>
      <c r="D16" s="30" t="s">
        <v>180</v>
      </c>
      <c r="E16" s="30" t="s">
        <v>181</v>
      </c>
    </row>
    <row r="17" spans="2:5" ht="39.75" thickBot="1">
      <c r="B17" s="29" t="s">
        <v>182</v>
      </c>
      <c r="C17" s="30" t="s">
        <v>183</v>
      </c>
      <c r="D17" s="30" t="s">
        <v>184</v>
      </c>
      <c r="E17" s="30" t="s">
        <v>185</v>
      </c>
    </row>
    <row r="18" spans="2:5" ht="27" thickBot="1">
      <c r="B18" s="29" t="s">
        <v>186</v>
      </c>
      <c r="C18" s="30" t="s">
        <v>187</v>
      </c>
      <c r="D18" s="30" t="s">
        <v>188</v>
      </c>
      <c r="E18" s="30" t="s">
        <v>189</v>
      </c>
    </row>
    <row r="19" spans="2:5" ht="39.75" thickBot="1">
      <c r="B19" s="29" t="s">
        <v>190</v>
      </c>
      <c r="C19" s="30" t="s">
        <v>191</v>
      </c>
      <c r="D19" s="30" t="s">
        <v>192</v>
      </c>
      <c r="E19" s="30" t="s">
        <v>193</v>
      </c>
    </row>
    <row r="20" spans="2:5" ht="39.75" thickBot="1">
      <c r="B20" s="29" t="s">
        <v>194</v>
      </c>
      <c r="C20" s="30" t="s">
        <v>195</v>
      </c>
      <c r="D20" s="30" t="s">
        <v>196</v>
      </c>
      <c r="E20" s="30" t="s">
        <v>197</v>
      </c>
    </row>
    <row r="21" spans="2:5" ht="27" thickBot="1">
      <c r="B21" s="29" t="s">
        <v>171</v>
      </c>
      <c r="C21" s="30" t="s">
        <v>151</v>
      </c>
      <c r="D21" s="30" t="s">
        <v>150</v>
      </c>
      <c r="E21" s="30" t="s">
        <v>198</v>
      </c>
    </row>
    <row r="22" spans="2:5" ht="15.75" thickBot="1">
      <c r="B22" s="31"/>
      <c r="C22" s="32"/>
      <c r="D22" s="32"/>
      <c r="E22" s="30"/>
    </row>
    <row r="23" spans="2:5" ht="15.75" thickBot="1">
      <c r="B23" s="33" t="s">
        <v>199</v>
      </c>
      <c r="C23" s="32"/>
      <c r="D23" s="32"/>
      <c r="E23" s="30"/>
    </row>
    <row r="24" spans="2:5" ht="39.75" thickBot="1">
      <c r="B24" s="27" t="s">
        <v>144</v>
      </c>
      <c r="C24" s="28" t="s">
        <v>145</v>
      </c>
      <c r="D24" s="28" t="s">
        <v>174</v>
      </c>
      <c r="E24" s="28" t="s">
        <v>175</v>
      </c>
    </row>
    <row r="25" spans="2:5" ht="27" thickBot="1">
      <c r="B25" s="29" t="s">
        <v>176</v>
      </c>
      <c r="C25" s="30" t="s">
        <v>200</v>
      </c>
      <c r="D25" s="30" t="s">
        <v>200</v>
      </c>
      <c r="E25" s="30" t="s">
        <v>178</v>
      </c>
    </row>
    <row r="26" spans="2:5" ht="39.75" thickBot="1">
      <c r="B26" s="29" t="s">
        <v>179</v>
      </c>
      <c r="C26" s="30" t="s">
        <v>201</v>
      </c>
      <c r="D26" s="30" t="s">
        <v>202</v>
      </c>
      <c r="E26" s="30" t="s">
        <v>203</v>
      </c>
    </row>
    <row r="27" spans="2:5" ht="78" thickBot="1">
      <c r="B27" s="29" t="s">
        <v>186</v>
      </c>
      <c r="C27" s="30" t="s">
        <v>204</v>
      </c>
      <c r="D27" s="30" t="s">
        <v>205</v>
      </c>
      <c r="E27" s="30" t="s">
        <v>206</v>
      </c>
    </row>
    <row r="28" spans="2:5" ht="39.75" thickBot="1">
      <c r="B28" s="29" t="s">
        <v>190</v>
      </c>
      <c r="C28" s="30" t="s">
        <v>207</v>
      </c>
      <c r="D28" s="30" t="s">
        <v>192</v>
      </c>
      <c r="E28" s="30" t="s">
        <v>208</v>
      </c>
    </row>
    <row r="29" spans="2:5" ht="39.75" thickBot="1">
      <c r="B29" s="29" t="s">
        <v>182</v>
      </c>
      <c r="C29" s="30" t="s">
        <v>209</v>
      </c>
      <c r="D29" s="30" t="s">
        <v>210</v>
      </c>
      <c r="E29" s="30" t="s">
        <v>211</v>
      </c>
    </row>
    <row r="30" spans="2:5" ht="27" thickBot="1">
      <c r="B30" s="29" t="s">
        <v>194</v>
      </c>
      <c r="C30" s="30" t="s">
        <v>212</v>
      </c>
      <c r="D30" s="30" t="s">
        <v>213</v>
      </c>
      <c r="E30" s="30" t="s">
        <v>214</v>
      </c>
    </row>
    <row r="31" spans="2:5" ht="15.75" thickBot="1">
      <c r="B31" s="29" t="s">
        <v>171</v>
      </c>
      <c r="C31" s="30" t="s">
        <v>151</v>
      </c>
      <c r="D31" s="30" t="s">
        <v>150</v>
      </c>
      <c r="E31" s="30" t="s">
        <v>215</v>
      </c>
    </row>
    <row r="32" spans="2:5" ht="15.75" thickBot="1">
      <c r="B32" s="32"/>
      <c r="C32" s="32"/>
      <c r="D32" s="32"/>
      <c r="E32" s="32"/>
    </row>
    <row r="33" spans="2:5" ht="15.75" thickBot="1">
      <c r="B33" s="33" t="s">
        <v>216</v>
      </c>
      <c r="C33" s="32"/>
      <c r="D33" s="32"/>
      <c r="E33" s="30"/>
    </row>
    <row r="34" spans="2:5" ht="52.5" thickBot="1">
      <c r="B34" s="27" t="s">
        <v>144</v>
      </c>
      <c r="C34" s="28" t="s">
        <v>145</v>
      </c>
      <c r="D34" s="28" t="s">
        <v>217</v>
      </c>
      <c r="E34" s="28" t="s">
        <v>218</v>
      </c>
    </row>
    <row r="35" spans="2:5" ht="15.75" thickBot="1">
      <c r="B35" s="29" t="s">
        <v>176</v>
      </c>
      <c r="C35" s="30" t="s">
        <v>219</v>
      </c>
      <c r="D35" s="30" t="s">
        <v>219</v>
      </c>
      <c r="E35" s="30"/>
    </row>
    <row r="36" spans="2:5" ht="39.75" thickBot="1">
      <c r="B36" s="29" t="s">
        <v>179</v>
      </c>
      <c r="C36" s="30" t="s">
        <v>220</v>
      </c>
      <c r="D36" s="30" t="s">
        <v>221</v>
      </c>
      <c r="E36" s="30" t="s">
        <v>222</v>
      </c>
    </row>
    <row r="37" spans="2:5" ht="90.75" thickBot="1">
      <c r="B37" s="29" t="s">
        <v>186</v>
      </c>
      <c r="C37" s="30" t="s">
        <v>223</v>
      </c>
      <c r="D37" s="30" t="s">
        <v>224</v>
      </c>
      <c r="E37" s="30" t="s">
        <v>225</v>
      </c>
    </row>
    <row r="38" spans="2:5" ht="27" thickBot="1">
      <c r="B38" s="29" t="s">
        <v>190</v>
      </c>
      <c r="C38" s="30" t="s">
        <v>226</v>
      </c>
      <c r="D38" s="30" t="s">
        <v>227</v>
      </c>
      <c r="E38" s="30" t="s">
        <v>228</v>
      </c>
    </row>
    <row r="39" spans="2:5" ht="90.75" thickBot="1">
      <c r="B39" s="29" t="s">
        <v>182</v>
      </c>
      <c r="C39" s="30" t="s">
        <v>229</v>
      </c>
      <c r="D39" s="30" t="s">
        <v>230</v>
      </c>
      <c r="E39" s="30" t="s">
        <v>231</v>
      </c>
    </row>
    <row r="40" spans="2:5" ht="27" thickBot="1">
      <c r="B40" s="29" t="s">
        <v>194</v>
      </c>
      <c r="C40" s="30" t="s">
        <v>212</v>
      </c>
      <c r="D40" s="30" t="s">
        <v>213</v>
      </c>
      <c r="E40" s="30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54D513482694694E85564E6DE20D7" ma:contentTypeVersion="10" ma:contentTypeDescription="Crée un document." ma:contentTypeScope="" ma:versionID="39fdb52b4adfda8aefefaa30090e388a">
  <xsd:schema xmlns:xsd="http://www.w3.org/2001/XMLSchema" xmlns:xs="http://www.w3.org/2001/XMLSchema" xmlns:p="http://schemas.microsoft.com/office/2006/metadata/properties" xmlns:ns2="af5159b7-effa-4e22-a153-b1ed839ca72a" xmlns:ns3="4add9cdb-8ad4-41b1-a232-4e10d5cf7782" targetNamespace="http://schemas.microsoft.com/office/2006/metadata/properties" ma:root="true" ma:fieldsID="81118434985ebddd7f4fe1e530924b9e" ns2:_="" ns3:_="">
    <xsd:import namespace="af5159b7-effa-4e22-a153-b1ed839ca72a"/>
    <xsd:import namespace="4add9cdb-8ad4-41b1-a232-4e10d5cf7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159b7-effa-4e22-a153-b1ed839ca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d9cdb-8ad4-41b1-a232-4e10d5cf77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fb27f7-1dd1-4162-83a7-24d985558d35}" ma:internalName="TaxCatchAll" ma:showField="CatchAllData" ma:web="4add9cdb-8ad4-41b1-a232-4e10d5cf7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dd9cdb-8ad4-41b1-a232-4e10d5cf7782" xsi:nil="true"/>
    <lcf76f155ced4ddcb4097134ff3c332f xmlns="af5159b7-effa-4e22-a153-b1ed839ca7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7807E1-B405-4E6A-9A5A-71A60C8D3DD1}"/>
</file>

<file path=customXml/itemProps2.xml><?xml version="1.0" encoding="utf-8"?>
<ds:datastoreItem xmlns:ds="http://schemas.openxmlformats.org/officeDocument/2006/customXml" ds:itemID="{BFA1B2B7-C1CD-46A5-8742-67CFDED5076C}"/>
</file>

<file path=customXml/itemProps3.xml><?xml version="1.0" encoding="utf-8"?>
<ds:datastoreItem xmlns:ds="http://schemas.openxmlformats.org/officeDocument/2006/customXml" ds:itemID="{526B0237-B3ED-4F6B-B7A3-73BD7309B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HENOUX Guilhem</dc:creator>
  <cp:keywords/>
  <dc:description/>
  <cp:lastModifiedBy>WINTREBERT Augustin</cp:lastModifiedBy>
  <cp:revision/>
  <dcterms:created xsi:type="dcterms:W3CDTF">2025-12-11T14:46:13Z</dcterms:created>
  <dcterms:modified xsi:type="dcterms:W3CDTF">2026-02-03T22:01:51Z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0x010100FE154D513482694694E85564E6DE20D7</vt:lpwstr>
  </property>
  <property fmtid="{D5CDD505-2E9C-101B-9397-08002B2CF9AE}" pid="3" name="MediaServiceImageTags">
    <vt:lpwstr/>
  </property>
</Properties>
</file>